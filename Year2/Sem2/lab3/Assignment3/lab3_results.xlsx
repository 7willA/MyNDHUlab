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m 2\Lab of design\"/>
    </mc:Choice>
  </mc:AlternateContent>
  <xr:revisionPtr revIDLastSave="0" documentId="13_ncr:1_{72B1091C-5767-4550-9186-37B7648E4DED}" xr6:coauthVersionLast="47" xr6:coauthVersionMax="47" xr10:uidLastSave="{00000000-0000-0000-0000-000000000000}"/>
  <bookViews>
    <workbookView xWindow="-90" yWindow="-90" windowWidth="20660" windowHeight="10260" tabRatio="500" activeTab="3" xr2:uid="{00000000-000D-0000-FFFF-FFFF00000000}"/>
  </bookViews>
  <sheets>
    <sheet name="Summary" sheetId="1" r:id="rId1"/>
    <sheet name="Exp1 - Vary n" sheetId="2" r:id="rId2"/>
    <sheet name="Exp2 - Vary d" sheetId="3" r:id="rId3"/>
    <sheet name="Exp3 - Vary r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<sst xmlns="http://schemas.openxmlformats.org/spreadsheetml/2006/main" count="55" uniqueCount="42">
  <si>
    <t>Lab 3 — Range Search Experiment Results</t>
  </si>
  <si>
    <t>Brute-Force vs KD-Tree  |  High-Dimensional Vector Range Search</t>
  </si>
  <si>
    <t>#</t>
  </si>
  <si>
    <t>Section</t>
  </si>
  <si>
    <t>Variable</t>
  </si>
  <si>
    <t>Fixed Params</t>
  </si>
  <si>
    <t>Observation</t>
  </si>
  <si>
    <t>Exp 1</t>
  </si>
  <si>
    <t>Dataset size n</t>
  </si>
  <si>
    <t>d=16, r=1.5</t>
  </si>
  <si>
    <t>BF time grows linearly. KD query stays fast but build is expensive.</t>
  </si>
  <si>
    <t>Exp 2</t>
  </si>
  <si>
    <t>Dimensions d</t>
  </si>
  <si>
    <t>Curse of dimensionality: 0 results at d≥8 with r=1.5.</t>
  </si>
  <si>
    <t>Exp 3</t>
  </si>
  <si>
    <t>Search radius r</t>
  </si>
  <si>
    <t>Larger r slows KD query (less pruning). BF unaffected.</t>
  </si>
  <si>
    <t>Key finding</t>
  </si>
  <si>
    <t>Curse of dimensionality</t>
  </si>
  <si>
    <t>KD-tree advantage</t>
  </si>
  <si>
    <t>Best at low-d</t>
  </si>
  <si>
    <t>Degrades toward O(n) per query as d increases.</t>
  </si>
  <si>
    <t>Build cost</t>
  </si>
  <si>
    <t>O(n log n)</t>
  </si>
  <si>
    <t>2.3s for n=100K. Only worth it if many queries run on same data.</t>
  </si>
  <si>
    <t>Experiment 1: Varying Dataset Size  (d=16, r=1.5)</t>
  </si>
  <si>
    <t>Param</t>
  </si>
  <si>
    <t>BF Query (ms)</t>
  </si>
  <si>
    <t>KD Build (ms)</t>
  </si>
  <si>
    <t>KD Query (ms)</t>
  </si>
  <si>
    <t>BF Found</t>
  </si>
  <si>
    <t>KD Found</t>
  </si>
  <si>
    <t>r (radius)</t>
  </si>
  <si>
    <t>0.5 (small)</t>
  </si>
  <si>
    <t>1.5 (medium)</t>
  </si>
  <si>
    <t>3.0 (large)</t>
  </si>
  <si>
    <t>Experiment 2: Varying Dimensions  (n=10000, r=1.5)</t>
  </si>
  <si>
    <t>Experiment 3: Varying Search Radius  (n=10000, d=16)</t>
  </si>
  <si>
    <t>d≥8 --&gt; 0 results. Fixed radius too small in high-d space.</t>
  </si>
  <si>
    <t>n=10000, r=1.5</t>
  </si>
  <si>
    <t>n=10000, d=16</t>
  </si>
  <si>
    <t>d=4 --&gt; 22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</si>
</sst>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9F9F9"/>
      <rgbColor rgb="FFD6E4F0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Query Time vs Dataset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'Exp1 - Vary n'!$B$2</c:f>
              <c:strCache>
                <c:ptCount val="1"/>
                <c:pt idx="0">
                  <c:v>BF Query (ms)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'Exp1 - Vary n'!$A$3:$A$7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'Exp1 - Vary n'!$B$3:$B$7</c:f>
              <c:numCache>
                <c:formatCode>General</c:formatCode>
                <c:ptCount val="5"/>
                <c:pt idx="0">
                  <c:v>4.0399999999999998E-2</c:v>
                </c:pt>
                <c:pt idx="1">
                  <c:v>0.6139</c:v>
                </c:pt>
                <c:pt idx="2">
                  <c:v>1.1993</c:v>
                </c:pt>
                <c:pt idx="3">
                  <c:v>6.7320000000000002</c:v>
                </c:pt>
                <c:pt idx="4">
                  <c:v>12.773899999999999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23-4CBA-B86A-14C17FE7F5F4}"/>
            </c:ext>
          </c:extLst>
        </c:ser>
        <c:ser>
          <c:idx val="1"/>
          <c:order val="1"/>
          <c:tx>
            <c:strRef>
              <c:f>'Exp1 - Vary n'!$D$2</c:f>
              <c:strCache>
                <c:ptCount val="1"/>
                <c:pt idx="0">
                  <c:v>KD Query (ms)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'Exp1 - Vary n'!$A$3:$A$7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'Exp1 - Vary n'!$D$3:$D$7</c:f>
              <c:numCache>
                <c:formatCode>General</c:formatCode>
                <c:ptCount val="5"/>
                <c:pt idx="0">
                  <c:v>4.1000000000000003E-3</c:v>
                </c:pt>
                <c:pt idx="1">
                  <c:v>1.5299999999999999E-2</c:v>
                </c:pt>
                <c:pt idx="2">
                  <c:v>1.77E-2</c:v>
                </c:pt>
                <c:pt idx="3">
                  <c:v>0.1928</c:v>
                </c:pt>
                <c:pt idx="4">
                  <c:v>0.37280000000000002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23-4CBA-B86A-14C17FE7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186321"/>
        <c:axId val="59452524"/>
      </c:lineChart>
      <c:catAx>
        <c:axId val="681863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452524"/>
        <c:crosses val="autoZero"/>
        <c:auto val="1"/>
        <c:lblAlgn val="ctr"/>
        <c:lblOffset val="100"/>
        <c:noMultiLvlLbl val="0"/>
      </c:catAx>
      <c:valAx>
        <c:axId val="59452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Query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81863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KD-Tree Build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'Exp1 - Vary n'!$C$2</c:f>
              <c:strCache>
                <c:ptCount val="1"/>
                <c:pt idx="0">
                  <c:v>KD Build (ms)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'Exp1 - Vary n'!$A$3:$A$7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'Exp1 - Vary n'!$C$3:$C$7</c:f>
              <c:numCache>
                <c:formatCode>General</c:formatCode>
                <c:ptCount val="5"/>
                <c:pt idx="0">
                  <c:v>3.68</c:v>
                </c:pt>
                <c:pt idx="1">
                  <c:v>57.05</c:v>
                </c:pt>
                <c:pt idx="2">
                  <c:v>127.5</c:v>
                </c:pt>
                <c:pt idx="3">
                  <c:v>1022.04</c:v>
                </c:pt>
                <c:pt idx="4">
                  <c:v>2291.61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0-48DF-935F-F5C4000C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04663"/>
        <c:axId val="46387147"/>
      </c:barChart>
      <c:catAx>
        <c:axId val="93704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387147"/>
        <c:crosses val="autoZero"/>
        <c:auto val="1"/>
        <c:lblAlgn val="ctr"/>
        <c:lblOffset val="100"/>
        <c:noMultiLvlLbl val="0"/>
      </c:catAx>
      <c:valAx>
        <c:axId val="46387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Build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37046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Query Time vs Dimensions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'Exp2 - Vary d'!$B$2</c:f>
              <c:strCache>
                <c:ptCount val="1"/>
                <c:pt idx="0">
                  <c:v>BF Query (ms)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'Exp2 - Vary d'!$A$3:$A$8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numCache>
            </c:numRef>
          </c:cat>
          <c:val>
            <c:numRef>
              <c:f>'Exp2 - Vary d'!$B$3:$B$8</c:f>
              <c:numCache>
                <c:formatCode>General</c:formatCode>
                <c:ptCount val="6"/>
                <c:pt idx="0">
                  <c:v>0.4879</c:v>
                </c:pt>
                <c:pt idx="1">
                  <c:v>0.78610000000000002</c:v>
                </c:pt>
                <c:pt idx="2">
                  <c:v>1.1455</c:v>
                </c:pt>
                <c:pt idx="3">
                  <c:v>2.4437000000000002</c:v>
                </c:pt>
                <c:pt idx="4">
                  <c:v>4.6391999999999998</c:v>
                </c:pt>
                <c:pt idx="5">
                  <c:v>10.5442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84-41BF-92A5-B62B5ECF7CB6}"/>
            </c:ext>
          </c:extLst>
        </c:ser>
        <c:ser>
          <c:idx val="1"/>
          <c:order val="1"/>
          <c:tx>
            <c:strRef>
              <c:f>'Exp2 - Vary d'!$D$2</c:f>
              <c:strCache>
                <c:ptCount val="1"/>
                <c:pt idx="0">
                  <c:v>KD Query (ms)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'Exp2 - Vary d'!$A$3:$A$8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numCache>
            </c:numRef>
          </c:cat>
          <c:val>
            <c:numRef>
              <c:f>'Exp2 - Vary d'!$D$3:$D$8</c:f>
              <c:numCache>
                <c:formatCode>General</c:formatCode>
                <c:ptCount val="6"/>
                <c:pt idx="0">
                  <c:v>3.0300000000000001E-2</c:v>
                </c:pt>
                <c:pt idx="1">
                  <c:v>1.77E-2</c:v>
                </c:pt>
                <c:pt idx="2">
                  <c:v>2.0199999999999999E-2</c:v>
                </c:pt>
                <c:pt idx="3">
                  <c:v>0.1779</c:v>
                </c:pt>
                <c:pt idx="4">
                  <c:v>0.16750000000000001</c:v>
                </c:pt>
                <c:pt idx="5">
                  <c:v>0.19489999999999999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84-41BF-92A5-B62B5ECF7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036973"/>
        <c:axId val="71720300"/>
      </c:lineChart>
      <c:catAx>
        <c:axId val="64036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Dimensions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720300"/>
        <c:crosses val="autoZero"/>
        <c:auto val="1"/>
        <c:lblAlgn val="ctr"/>
        <c:lblOffset val="100"/>
        <c:noMultiLvlLbl val="0"/>
      </c:catAx>
      <c:valAx>
        <c:axId val="71720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Query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40369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Curse of Dimensionality — Results Found per Query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'Exp2 - Vary d'!$E$2</c:f>
              <c:strCache>
                <c:ptCount val="1"/>
                <c:pt idx="0">
                  <c:v>BF Found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'Exp2 - Vary d'!$A$3:$A$8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numCache>
            </c:numRef>
          </c:cat>
          <c:val>
            <c:numRef>
              <c:f>'Exp2 - Vary d'!$E$3:$E$8</c:f>
              <c:numCache>
                <c:formatCode>General</c:formatCode>
                <c:ptCount val="6"/>
                <c:pt idx="0">
                  <c:v>22.08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1-4779-8B2A-DA5CB905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3214"/>
        <c:axId val="85029021"/>
      </c:barChart>
      <c:catAx>
        <c:axId val="23353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Dimensions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029021"/>
        <c:crosses val="autoZero"/>
        <c:auto val="1"/>
        <c:lblAlgn val="ctr"/>
        <c:lblOffset val="100"/>
        <c:noMultiLvlLbl val="0"/>
      </c:catAx>
      <c:valAx>
        <c:axId val="85029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results found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3532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Query Time vs Search Radius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'Exp3 - Vary r'!$B$2</c:f>
              <c:strCache>
                <c:ptCount val="1"/>
                <c:pt idx="0">
                  <c:v>BF Query (ms)</c:v>
                </c:pt>
              </c:strCache>
            </c:strRef>
          </c:tx>
          <c:spPr>
            <a:solidFill>
              <a:srgbClr val="E07B3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'Exp3 - Vary r'!$A$3:$A$5</c:f>
              <c:strCache>
                <c:ptCount val="3"/>
                <c:pt idx="0">
                  <c:v>0.5 (small)</c:v>
                </c:pt>
                <c:pt idx="1">
                  <c:v>1.5 (medium)</c:v>
                </c:pt>
                <c:pt idx="2">
                  <c:v>3.0 (large)</c:v>
                </c:pt>
              </c:strCache>
            </c:strRef>
          </c:cat>
          <c:val>
            <c:numRef>
              <c:f>'Exp3 - Vary r'!$B$3:$B$5</c:f>
              <c:numCache>
                <c:formatCode>General</c:formatCode>
                <c:ptCount val="3"/>
                <c:pt idx="0">
                  <c:v>1.4286000000000001</c:v>
                </c:pt>
                <c:pt idx="1">
                  <c:v>1.1146</c:v>
                </c:pt>
                <c:pt idx="2">
                  <c:v>1.2576000000000001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4-4488-9219-6C4FA1A627F7}"/>
            </c:ext>
          </c:extLst>
        </c:ser>
        <c:ser>
          <c:idx val="1"/>
          <c:order val="1"/>
          <c:tx>
            <c:strRef>
              <c:f>'Exp3 - Vary r'!$D$2</c:f>
              <c:strCache>
                <c:ptCount val="1"/>
                <c:pt idx="0">
                  <c:v>KD Query (ms)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'Exp3 - Vary r'!$A$3:$A$5</c:f>
              <c:strCache>
                <c:ptCount val="3"/>
                <c:pt idx="0">
                  <c:v>0.5 (small)</c:v>
                </c:pt>
                <c:pt idx="1">
                  <c:v>1.5 (medium)</c:v>
                </c:pt>
                <c:pt idx="2">
                  <c:v>3.0 (large)</c:v>
                </c:pt>
              </c:strCache>
            </c:strRef>
          </c:cat>
          <c:val>
            <c:numRef>
              <c:f>'Exp3 - Vary r'!$D$3:$D$5</c:f>
              <c:numCache>
                <c:formatCode>General</c:formatCode>
                <c:ptCount val="3"/>
                <c:pt idx="0">
                  <c:v>0.14549999999999999</c:v>
                </c:pt>
                <c:pt idx="1">
                  <c:v>0.16819999999999999</c:v>
                </c:pt>
                <c:pt idx="2">
                  <c:v>0.5454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4-4488-9219-6C4FA1A62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8453"/>
        <c:axId val="97600986"/>
      </c:barChart>
      <c:catAx>
        <c:axId val="4768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Radius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7600986"/>
        <c:crosses val="autoZero"/>
        <c:auto val="1"/>
        <c:lblAlgn val="ctr"/>
        <c:lblOffset val="100"/>
        <c:noMultiLvlLbl val="0"/>
      </c:catAx>
      <c:valAx>
        <c:axId val="97600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Query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7684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4680</xdr:colOff>
      <xdr:row>21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17</xdr:col>
      <xdr:colOff>4680</xdr:colOff>
      <xdr:row>41</xdr:row>
      <xdr:rowOff>149400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4680</xdr:colOff>
      <xdr:row>21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17</xdr:col>
      <xdr:colOff>4680</xdr:colOff>
      <xdr:row>41</xdr:row>
      <xdr:rowOff>149400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4320</xdr:colOff>
      <xdr:row>21</xdr:row>
      <xdr:rowOff>149760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zoomScaleNormal="100" workbookViewId="0">
      <selection activeCell="D12" sqref="D12"/>
    </sheetView>
  </sheetViews>
  <sheetFormatPr defaultColWidth="8.6796875" defaultRowHeight="15" customHeight="1" x14ac:dyDescent="0.75"/>
  <cols>
    <col min="1" max="1" width="5" customWidth="1"/>
    <col min="2" max="2" width="14" customWidth="1"/>
    <col min="3" max="3" width="22" customWidth="1"/>
    <col min="4" max="4" width="18" customWidth="1"/>
    <col min="5" max="5" width="50" customWidth="1"/>
  </cols>
  <sheetData>
    <row r="1" spans="1:5" ht="39.75" customHeight="1" x14ac:dyDescent="0.75">
      <c r="A1" s="3" t="s">
        <v>0</v>
      </c>
      <c r="B1" s="3"/>
      <c r="C1" s="3"/>
      <c r="D1" s="3"/>
      <c r="E1" s="3"/>
    </row>
    <row r="2" spans="1:5" ht="14.75" x14ac:dyDescent="0.75">
      <c r="A2" s="2" t="s">
        <v>1</v>
      </c>
      <c r="B2" s="2"/>
      <c r="C2" s="2"/>
      <c r="D2" s="2"/>
      <c r="E2" s="2"/>
    </row>
    <row r="4" spans="1:5" ht="14.75" x14ac:dyDescent="0.7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14.75" x14ac:dyDescent="0.75">
      <c r="A5" s="5">
        <v>1</v>
      </c>
      <c r="B5" s="5" t="s">
        <v>7</v>
      </c>
      <c r="C5" s="5" t="s">
        <v>8</v>
      </c>
      <c r="D5" s="5" t="s">
        <v>9</v>
      </c>
      <c r="E5" s="6" t="s">
        <v>10</v>
      </c>
    </row>
    <row r="6" spans="1:5" ht="14.75" x14ac:dyDescent="0.75">
      <c r="A6" s="7">
        <v>2</v>
      </c>
      <c r="B6" s="7" t="s">
        <v>11</v>
      </c>
      <c r="C6" s="7" t="s">
        <v>12</v>
      </c>
      <c r="D6" s="7" t="s">
        <v>39</v>
      </c>
      <c r="E6" s="8" t="s">
        <v>13</v>
      </c>
    </row>
    <row r="7" spans="1:5" ht="14.75" x14ac:dyDescent="0.75">
      <c r="A7" s="5">
        <v>3</v>
      </c>
      <c r="B7" s="5" t="s">
        <v>14</v>
      </c>
      <c r="C7" s="5" t="s">
        <v>15</v>
      </c>
      <c r="D7" s="5" t="s">
        <v>40</v>
      </c>
      <c r="E7" s="6" t="s">
        <v>16</v>
      </c>
    </row>
    <row r="8" spans="1:5" ht="14.75" x14ac:dyDescent="0.75">
      <c r="A8" s="7"/>
      <c r="B8" s="7" t="s">
        <v>17</v>
      </c>
      <c r="C8" s="7" t="s">
        <v>18</v>
      </c>
      <c r="D8" s="7" t="s">
        <v>41</v>
      </c>
      <c r="E8" s="8" t="s">
        <v>38</v>
      </c>
    </row>
    <row r="9" spans="1:5" ht="14.75" x14ac:dyDescent="0.75">
      <c r="A9" s="5"/>
      <c r="B9" s="5" t="s">
        <v>17</v>
      </c>
      <c r="C9" s="5" t="s">
        <v>19</v>
      </c>
      <c r="D9" s="5" t="s">
        <v>20</v>
      </c>
      <c r="E9" s="6" t="s">
        <v>21</v>
      </c>
    </row>
    <row r="10" spans="1:5" ht="14.75" x14ac:dyDescent="0.75">
      <c r="A10" s="7"/>
      <c r="B10" s="7" t="s">
        <v>17</v>
      </c>
      <c r="C10" s="7" t="s">
        <v>22</v>
      </c>
      <c r="D10" s="7" t="s">
        <v>23</v>
      </c>
      <c r="E10" s="8" t="s">
        <v>24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sqref="A1:F1"/>
    </sheetView>
  </sheetViews>
  <sheetFormatPr defaultColWidth="8.6796875" defaultRowHeight="15" customHeight="1" x14ac:dyDescent="0.75"/>
  <cols>
    <col min="1" max="1" width="12" customWidth="1"/>
    <col min="2" max="4" width="16" customWidth="1"/>
    <col min="5" max="6" width="12" customWidth="1"/>
  </cols>
  <sheetData>
    <row r="1" spans="1:6" ht="27.75" customHeight="1" x14ac:dyDescent="0.75">
      <c r="A1" s="1" t="s">
        <v>25</v>
      </c>
      <c r="B1" s="1"/>
      <c r="C1" s="1"/>
      <c r="D1" s="1"/>
      <c r="E1" s="1"/>
      <c r="F1" s="1"/>
    </row>
    <row r="2" spans="1:6" ht="14.75" x14ac:dyDescent="0.7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ht="14.75" x14ac:dyDescent="0.75">
      <c r="A3" s="5">
        <v>1000</v>
      </c>
      <c r="B3" s="5">
        <v>4.0399999999999998E-2</v>
      </c>
      <c r="C3" s="5">
        <v>3.68</v>
      </c>
      <c r="D3" s="5">
        <v>4.1000000000000003E-3</v>
      </c>
      <c r="E3" s="5">
        <v>0</v>
      </c>
      <c r="F3" s="5">
        <v>0</v>
      </c>
    </row>
    <row r="4" spans="1:6" ht="14.75" x14ac:dyDescent="0.75">
      <c r="A4" s="7">
        <v>5000</v>
      </c>
      <c r="B4" s="7">
        <v>0.6139</v>
      </c>
      <c r="C4" s="7">
        <v>57.05</v>
      </c>
      <c r="D4" s="7">
        <v>1.5299999999999999E-2</v>
      </c>
      <c r="E4" s="7">
        <v>0</v>
      </c>
      <c r="F4" s="7">
        <v>0</v>
      </c>
    </row>
    <row r="5" spans="1:6" ht="14.75" x14ac:dyDescent="0.75">
      <c r="A5" s="5">
        <v>10000</v>
      </c>
      <c r="B5" s="5">
        <v>1.1993</v>
      </c>
      <c r="C5" s="5">
        <v>127.5</v>
      </c>
      <c r="D5" s="5">
        <v>1.77E-2</v>
      </c>
      <c r="E5" s="5">
        <v>0</v>
      </c>
      <c r="F5" s="5">
        <v>0</v>
      </c>
    </row>
    <row r="6" spans="1:6" ht="14.75" x14ac:dyDescent="0.75">
      <c r="A6" s="7">
        <v>50000</v>
      </c>
      <c r="B6" s="7">
        <v>6.7320000000000002</v>
      </c>
      <c r="C6" s="7">
        <v>1022.04</v>
      </c>
      <c r="D6" s="7">
        <v>0.1928</v>
      </c>
      <c r="E6" s="7">
        <v>0</v>
      </c>
      <c r="F6" s="7">
        <v>0</v>
      </c>
    </row>
    <row r="7" spans="1:6" ht="14.75" x14ac:dyDescent="0.75">
      <c r="A7" s="5">
        <v>100000</v>
      </c>
      <c r="B7" s="5">
        <v>12.773899999999999</v>
      </c>
      <c r="C7" s="5">
        <v>2291.61</v>
      </c>
      <c r="D7" s="5">
        <v>0.37280000000000002</v>
      </c>
      <c r="E7" s="5">
        <v>0</v>
      </c>
      <c r="F7" s="5"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>
      <selection activeCell="C13" sqref="C13"/>
    </sheetView>
  </sheetViews>
  <sheetFormatPr defaultColWidth="8.6796875" defaultRowHeight="15" customHeight="1" x14ac:dyDescent="0.75"/>
  <cols>
    <col min="1" max="1" width="10" customWidth="1"/>
    <col min="2" max="4" width="16" customWidth="1"/>
    <col min="5" max="6" width="12" customWidth="1"/>
  </cols>
  <sheetData>
    <row r="1" spans="1:6" ht="27.75" customHeight="1" x14ac:dyDescent="0.75">
      <c r="A1" s="1" t="s">
        <v>36</v>
      </c>
      <c r="B1" s="1"/>
      <c r="C1" s="1"/>
      <c r="D1" s="1"/>
      <c r="E1" s="1"/>
      <c r="F1" s="1"/>
    </row>
    <row r="2" spans="1:6" ht="14.75" x14ac:dyDescent="0.7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ht="14.75" x14ac:dyDescent="0.75">
      <c r="A3" s="5">
        <v>4</v>
      </c>
      <c r="B3" s="5">
        <v>0.4879</v>
      </c>
      <c r="C3" s="5">
        <v>102.12</v>
      </c>
      <c r="D3" s="5">
        <v>3.0300000000000001E-2</v>
      </c>
      <c r="E3" s="5">
        <v>22.08</v>
      </c>
      <c r="F3" s="5">
        <v>22.08</v>
      </c>
    </row>
    <row r="4" spans="1:6" ht="14.75" x14ac:dyDescent="0.75">
      <c r="A4" s="7">
        <v>8</v>
      </c>
      <c r="B4" s="7">
        <v>0.78610000000000002</v>
      </c>
      <c r="C4" s="7">
        <v>111.76</v>
      </c>
      <c r="D4" s="7">
        <v>1.77E-2</v>
      </c>
      <c r="E4" s="7">
        <v>0</v>
      </c>
      <c r="F4" s="7">
        <v>0</v>
      </c>
    </row>
    <row r="5" spans="1:6" ht="14.75" x14ac:dyDescent="0.75">
      <c r="A5" s="5">
        <v>16</v>
      </c>
      <c r="B5" s="5">
        <v>1.1455</v>
      </c>
      <c r="C5" s="5">
        <v>121.09</v>
      </c>
      <c r="D5" s="5">
        <v>2.0199999999999999E-2</v>
      </c>
      <c r="E5" s="5">
        <v>0</v>
      </c>
      <c r="F5" s="5">
        <v>0</v>
      </c>
    </row>
    <row r="6" spans="1:6" ht="14.75" x14ac:dyDescent="0.75">
      <c r="A6" s="7">
        <v>32</v>
      </c>
      <c r="B6" s="7">
        <v>2.4437000000000002</v>
      </c>
      <c r="C6" s="7">
        <v>143.19</v>
      </c>
      <c r="D6" s="7">
        <v>0.1779</v>
      </c>
      <c r="E6" s="7">
        <v>0</v>
      </c>
      <c r="F6" s="7">
        <v>0</v>
      </c>
    </row>
    <row r="7" spans="1:6" ht="14.75" x14ac:dyDescent="0.75">
      <c r="A7" s="5">
        <v>64</v>
      </c>
      <c r="B7" s="5">
        <v>4.6391999999999998</v>
      </c>
      <c r="C7" s="5">
        <v>241.95</v>
      </c>
      <c r="D7" s="5">
        <v>0.16750000000000001</v>
      </c>
      <c r="E7" s="5">
        <v>0</v>
      </c>
      <c r="F7" s="5">
        <v>0</v>
      </c>
    </row>
    <row r="8" spans="1:6" ht="14.75" x14ac:dyDescent="0.75">
      <c r="A8" s="7">
        <v>128</v>
      </c>
      <c r="B8" s="7">
        <v>10.5442</v>
      </c>
      <c r="C8" s="7">
        <v>323.27</v>
      </c>
      <c r="D8" s="7">
        <v>0.19489999999999999</v>
      </c>
      <c r="E8" s="7">
        <v>0</v>
      </c>
      <c r="F8" s="7"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tabSelected="1" zoomScaleNormal="100" workbookViewId="0">
      <selection sqref="A1:F1"/>
    </sheetView>
  </sheetViews>
  <sheetFormatPr defaultColWidth="8.6796875" defaultRowHeight="15" customHeight="1" x14ac:dyDescent="0.75"/>
  <cols>
    <col min="1" max="4" width="16" customWidth="1"/>
    <col min="5" max="6" width="12" customWidth="1"/>
  </cols>
  <sheetData>
    <row r="1" spans="1:6" ht="27.75" customHeight="1" x14ac:dyDescent="0.75">
      <c r="A1" s="1" t="s">
        <v>37</v>
      </c>
      <c r="B1" s="1"/>
      <c r="C1" s="1"/>
      <c r="D1" s="1"/>
      <c r="E1" s="1"/>
      <c r="F1" s="1"/>
    </row>
    <row r="2" spans="1:6" ht="14.75" x14ac:dyDescent="0.75">
      <c r="A2" s="4" t="s">
        <v>32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ht="14.75" x14ac:dyDescent="0.75">
      <c r="A3" s="5" t="s">
        <v>33</v>
      </c>
      <c r="B3" s="5">
        <v>1.4286000000000001</v>
      </c>
      <c r="C3" s="5">
        <v>136.47999999999999</v>
      </c>
      <c r="D3" s="5">
        <v>0.14549999999999999</v>
      </c>
      <c r="E3" s="5">
        <v>0</v>
      </c>
      <c r="F3" s="5">
        <v>0</v>
      </c>
    </row>
    <row r="4" spans="1:6" ht="14.75" x14ac:dyDescent="0.75">
      <c r="A4" s="7" t="s">
        <v>34</v>
      </c>
      <c r="B4" s="7">
        <v>1.1146</v>
      </c>
      <c r="C4" s="7">
        <v>119.94</v>
      </c>
      <c r="D4" s="7">
        <v>0.16819999999999999</v>
      </c>
      <c r="E4" s="7">
        <v>0</v>
      </c>
      <c r="F4" s="7">
        <v>0</v>
      </c>
    </row>
    <row r="5" spans="1:6" ht="14.75" x14ac:dyDescent="0.75">
      <c r="A5" s="5" t="s">
        <v>35</v>
      </c>
      <c r="B5" s="5">
        <v>1.2576000000000001</v>
      </c>
      <c r="C5" s="5">
        <v>117.78</v>
      </c>
      <c r="D5" s="5">
        <v>0.5454</v>
      </c>
      <c r="E5" s="5">
        <v>0</v>
      </c>
      <c r="F5" s="5"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Exp1 - Vary n</vt:lpstr>
      <vt:lpstr>Exp2 - Vary d</vt:lpstr>
      <vt:lpstr>Exp3 - Vary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Wilkend AUGUSTE</cp:lastModifiedBy>
  <cp:revision>1</cp:revision>
  <dcterms:created xsi:type="dcterms:W3CDTF">2026-03-30T17:57:42Z</dcterms:created>
  <dcterms:modified xsi:type="dcterms:W3CDTF">2026-03-31T01:54:30Z</dcterms:modified>
  <dc:language>en-US</dc:language>
</cp:coreProperties>
</file>